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Projects\ReportMTO\"/>
    </mc:Choice>
  </mc:AlternateContent>
  <xr:revisionPtr revIDLastSave="0" documentId="13_ncr:1_{E4EFE432-10AF-4397-952F-CC4610CBDCAA}" xr6:coauthVersionLast="47" xr6:coauthVersionMax="47" xr10:uidLastSave="{00000000-0000-0000-0000-000000000000}"/>
  <bookViews>
    <workbookView xWindow="28680" yWindow="-120" windowWidth="29040" windowHeight="15720" firstSheet="1" activeTab="1" xr2:uid="{00000000-000D-0000-FFFF-FFFF00000000}"/>
  </bookViews>
  <sheets>
    <sheet name="Pivots" sheetId="5" state="veryHidden" r:id="rId1"/>
    <sheet name="Main" sheetId="1" r:id="rId2"/>
    <sheet name="Variable" sheetId="2" r:id="rId3"/>
    <sheet name="Logs" sheetId="3" r:id="rId4"/>
    <sheet name="tbDATA" sheetId="4" r:id="rId5"/>
  </sheets>
  <functionGroups builtInGroupCount="19"/>
  <definedNames>
    <definedName name="ExternalData_1" localSheetId="4" hidden="1">tbDATA!$A$1:$U$3</definedName>
  </definedNames>
  <calcPr calcId="0"/>
  <pivotCaches>
    <pivotCache cacheId="35" r:id="rId6"/>
  </pivotCaches>
  <extLs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51D9B19-EF45-4A03-B0D8-81AC789E1F19}" keepAlive="1" name="Запрос — prmSourcePath" description="Соединение с запросом &quot;prmSourcePath&quot; в книге." type="5" refreshedVersion="0" background="1">
    <dbPr connection="Provider=Microsoft.Mashup.OleDb.1;Data Source=$Workbook$;Location=prmSourcePath;Extended Properties=&quot;&quot;" command="SELECT * FROM [prmSourcePath]"/>
  </connection>
  <connection id="2" xr16:uid="{03E4499F-7CBF-46D3-858B-0CAB28D8BA81}" keepAlive="1" name="Запрос — Query-ImportJSON" description="Соединение с запросом &quot;Query-ImportJSON&quot; в книге." type="5" refreshedVersion="7" background="1" saveData="1">
    <dbPr connection="Provider=Microsoft.Mashup.OleDb.1;Data Source=$Workbook$;Location=Query-ImportJSON;Extended Properties=&quot;&quot;" command="SELECT * FROM [Query-ImportJSON]"/>
  </connection>
  <connection id="3" xr16:uid="{914C20F5-32D0-4CF4-BAD3-5988042BF77E}" keepAlive="1" name="Подключение" type="5" refreshedVersion="0" background="1">
    <dbPr connection="Provider=Microsoft.Mashup.OleDb.1;Data Source=$Workbook$;Location=Query-ImportJSON;Extended Properties=&quot;&quot;" commandType="0"/>
  </connection>
</connections>
</file>

<file path=xl/sharedStrings.xml><?xml version="1.0" encoding="utf-8"?>
<sst xmlns="http://schemas.openxmlformats.org/spreadsheetml/2006/main" count="132" uniqueCount="78">
  <si>
    <t>ReportMTO — панель управления</t>
  </si>
  <si>
    <t>После импорта VBA-модулей (см. инструкцию) добавьте сюда 2 кнопки:</t>
  </si>
  <si>
    <t>Вставка → Фигуры/Элементы управления формы → Назначить макрос:</t>
  </si>
  <si>
    <t xml:space="preserve">  1) «Загрузить»        → modMain.LoadSourceFile</t>
  </si>
  <si>
    <t xml:space="preserve">  2) «Сформировать отчёт» → modMain.GenerateReport</t>
  </si>
  <si>
    <t>prmSourcePath создаётся как Power Query-запрос (Данные → Получить данные → Пустой запрос), НЕ как именованный диапазон — см. инструкцию.</t>
  </si>
  <si>
    <t>Key</t>
  </si>
  <si>
    <t>Value</t>
  </si>
  <si>
    <t>ВАЖНО: AI/API_KEY — секрет. После заполнения защитите лист паролем</t>
  </si>
  <si>
    <t>AI/PROVIDER</t>
  </si>
  <si>
    <t>DeepSeek</t>
  </si>
  <si>
    <t>(Рецензирование → Защитить лист), см. data.md §1.1.</t>
  </si>
  <si>
    <t>AI/API_KEY</t>
  </si>
  <si>
    <t>AI/MODEL</t>
  </si>
  <si>
    <t>deepseek-chat</t>
  </si>
  <si>
    <t>OUTPUT/RESULT_FOLDER — впишите реальный путь к папке result\ рядом с книгой.</t>
  </si>
  <si>
    <t>AI/ENDPOINT</t>
  </si>
  <si>
    <t>https://api.deepseek.com/chat/completions</t>
  </si>
  <si>
    <t>REPORT/WEEKS_WINDOW</t>
  </si>
  <si>
    <t>REPORT/SYNC_THRESHOLD_MIN</t>
  </si>
  <si>
    <t>REPORT/TOPN</t>
  </si>
  <si>
    <t>OUTPUT/RESULT_FOLDER</t>
  </si>
  <si>
    <t>Дата</t>
  </si>
  <si>
    <t>Тип записи</t>
  </si>
  <si>
    <t>Действие</t>
  </si>
  <si>
    <t>Источник</t>
  </si>
  <si>
    <t>Результат</t>
  </si>
  <si>
    <t>Ошибка</t>
  </si>
  <si>
    <t>Загрузка данных</t>
  </si>
  <si>
    <t>placeholder.json</t>
  </si>
  <si>
    <t>Subscript out of range</t>
  </si>
  <si>
    <t>number</t>
  </si>
  <si>
    <t>date</t>
  </si>
  <si>
    <t>ready_for</t>
  </si>
  <si>
    <t>direction</t>
  </si>
  <si>
    <t>status_date</t>
  </si>
  <si>
    <t>employee</t>
  </si>
  <si>
    <t>arm</t>
  </si>
  <si>
    <t>post</t>
  </si>
  <si>
    <t>day_status</t>
  </si>
  <si>
    <t>month_status</t>
  </si>
  <si>
    <t>year_status</t>
  </si>
  <si>
    <t>week_status</t>
  </si>
  <si>
    <t>zn_type</t>
  </si>
  <si>
    <t>emp_dep</t>
  </si>
  <si>
    <t>model_type</t>
  </si>
  <si>
    <t>in_bounds</t>
  </si>
  <si>
    <t>defekt_type</t>
  </si>
  <si>
    <t>defect_desc</t>
  </si>
  <si>
    <t>postN</t>
  </si>
  <si>
    <t>deltaHours</t>
  </si>
  <si>
    <t>000000001</t>
  </si>
  <si>
    <t>2026-08-20T09:00:00</t>
  </si>
  <si>
    <t>Готов к приёмке</t>
  </si>
  <si>
    <t>ДГМ</t>
  </si>
  <si>
    <t>2026-08-20T09:05:00</t>
  </si>
  <si>
    <t>Тестов Тест Тестович</t>
  </si>
  <si>
    <t>ПЛАНШЕТ</t>
  </si>
  <si>
    <t>Пост СТК-1</t>
  </si>
  <si>
    <t>Внеплановый ремонт</t>
  </si>
  <si>
    <t>Автотранспорт</t>
  </si>
  <si>
    <t>СТК</t>
  </si>
  <si>
    <t>000000001|2026-08-20T09:00:00|Готов к приёмке|ДГМ</t>
  </si>
  <si>
    <t>Готов к выбытию</t>
  </si>
  <si>
    <t>2026-08-20T11:05:00</t>
  </si>
  <si>
    <t>000000001|2026-08-20T09:00:00|Готов к выбытию|ДГМ</t>
  </si>
  <si>
    <t>sppr_tablet_20260722_152007_18506rec.json</t>
  </si>
  <si>
    <t>C:\Projects\ReportMTO\result</t>
  </si>
  <si>
    <t>Названия строк</t>
  </si>
  <si>
    <t>Общий итог</t>
  </si>
  <si>
    <t>Названия столбцов</t>
  </si>
  <si>
    <t>(Все)</t>
  </si>
  <si>
    <t>Кол-во</t>
  </si>
  <si>
    <t>(пусто)</t>
  </si>
  <si>
    <t>sk-e658dcad87bc42bfa158a91518512c02</t>
  </si>
  <si>
    <t>Предупреждение</t>
  </si>
  <si>
    <t>Формирование отчёта</t>
  </si>
  <si>
    <t>Ответ ИИ не распознан или недоступен — используются заглушки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</si>
</sst>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4"/>
      <name val="Calibri"/>
    </font>
    <font>
      <i/>
      <sz val="11"/>
      <color rgb="FFC00000"/>
      <name val="Calibri"/>
    </font>
    <font>
      <i/>
      <sz val="11"/>
      <name val="Calibri"/>
    </font>
    <font>
      <i/>
      <sz val="11"/>
      <color rgb="FF808080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4" fillId="0" borderId="0" xfId="0" applyFont="1"/>
    <xf numFmtId="0" fontId="2" fillId="0" borderId="0" xfId="0" applyFont="1"/>
    <xf numFmtId="0" fontId="3" fillId="0" borderId="0" xfId="0" applyFont="1"/>
    <xf numFmtId="2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9524</xdr:colOff>
      <xdr:row>1</xdr:row>
      <xdr:rowOff>0</xdr:rowOff>
    </xdr:from>
    <xdr:to>
      <xdr:col>3</xdr:col>
      <xdr:colOff>590549</xdr:colOff>
      <xdr:row>3</xdr:row>
      <xdr:rowOff>9525</xdr:rowOff>
    </xdr:to>
    <xdr:sp macro="[0]!LoadSourceFile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58ED908B-67E5-4548-A14F-1C620C53C5C8}"/>
            </a:ext>
          </a:extLst>
        </xdr:cNvPr>
        <xdr:cNvSpPr/>
      </xdr:nvSpPr>
      <xdr:spPr>
        <a:xfrm>
          <a:off x="5286374" y="238125"/>
          <a:ext cx="1190625" cy="390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Загрузить</a:t>
          </a:r>
        </a:p>
      </xdr:txBody>
    </xdr:sp>
    <xdr:clientData/>
  </xdr:twoCellAnchor>
  <xdr:twoCellAnchor>
    <xdr:from>
      <xdr:col>2</xdr:col>
      <xdr:colOff>0</xdr:colOff>
      <xdr:row>3</xdr:row>
      <xdr:rowOff>180975</xdr:rowOff>
    </xdr:from>
    <xdr:to>
      <xdr:col>4</xdr:col>
      <xdr:colOff>0</xdr:colOff>
      <xdr:row>5</xdr:row>
      <xdr:rowOff>142875</xdr:rowOff>
    </xdr:to>
    <xdr:sp macro="[0]!GenerateReport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43ABAAC6-6CF1-45AB-B54F-068D1FC87947}"/>
            </a:ext>
          </a:extLst>
        </xdr:cNvPr>
        <xdr:cNvSpPr/>
      </xdr:nvSpPr>
      <xdr:spPr>
        <a:xfrm>
          <a:off x="5276850" y="800100"/>
          <a:ext cx="1219200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Сформитровать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Солдатов Дмитрий Евгеньевич" refreshedDate="46258.456379745374" createdVersion="3" refreshedVersion="7" minRefreshableVersion="3" recordCount="2" xr:uid="{9E0A07D8-F548-4D85-BBF2-02DC73F2FF14}">
  <cacheSource type="worksheet">
    <worksheetSource ref="A1:U3" sheet="tbDATA"/>
  </cacheSource>
  <cacheFields count="21">
    <cacheField name="number" numFmtId="0">
      <sharedItems/>
    </cacheField>
    <cacheField name="date" numFmtId="0">
      <sharedItems/>
    </cacheField>
    <cacheField name="ready_for" numFmtId="0">
      <sharedItems/>
    </cacheField>
    <cacheField name="direction" numFmtId="0">
      <sharedItems count="1">
        <s v="ДГМ"/>
      </sharedItems>
    </cacheField>
    <cacheField name="status_date" numFmtId="0">
      <sharedItems/>
    </cacheField>
    <cacheField name="employee" numFmtId="0">
      <sharedItems/>
    </cacheField>
    <cacheField name="arm" numFmtId="0">
      <sharedItems count="1">
        <s v="ПЛАНШЕТ"/>
      </sharedItems>
    </cacheField>
    <cacheField name="post" numFmtId="0">
      <sharedItems/>
    </cacheField>
    <cacheField name="day_status" numFmtId="0">
      <sharedItems containsSemiMixedTypes="0" containsString="0" containsNumber="1" containsInteger="1" minValue="20" maxValue="20"/>
    </cacheField>
    <cacheField name="month_status" numFmtId="0">
      <sharedItems containsSemiMixedTypes="0" containsString="0" containsNumber="1" containsInteger="1" minValue="8" maxValue="8"/>
    </cacheField>
    <cacheField name="year_status" numFmtId="0">
      <sharedItems containsSemiMixedTypes="0" containsString="0" containsNumber="1" containsInteger="1" minValue="2026" maxValue="2026"/>
    </cacheField>
    <cacheField name="week_status" numFmtId="0">
      <sharedItems containsSemiMixedTypes="0" containsString="0" containsNumber="1" containsInteger="1" minValue="34" maxValue="34" count="1">
        <n v="34"/>
      </sharedItems>
    </cacheField>
    <cacheField name="zn_type" numFmtId="0">
      <sharedItems count="1">
        <s v="Внеплановый ремонт"/>
      </sharedItems>
    </cacheField>
    <cacheField name="emp_dep" numFmtId="0">
      <sharedItems/>
    </cacheField>
    <cacheField name="model_type" numFmtId="0">
      <sharedItems/>
    </cacheField>
    <cacheField name="in_bounds" numFmtId="0">
      <sharedItems count="1">
        <b v="1"/>
      </sharedItems>
    </cacheField>
    <cacheField name="defekt_type" numFmtId="0">
      <sharedItems containsNonDate="0" containsString="0" containsBlank="1" count="1">
        <m/>
      </sharedItems>
    </cacheField>
    <cacheField name="defect_desc" numFmtId="0">
      <sharedItems containsNonDate="0" containsString="0" containsBlank="1"/>
    </cacheField>
    <cacheField name="postN" numFmtId="0">
      <sharedItems count="1">
        <s v="СТК"/>
      </sharedItems>
    </cacheField>
    <cacheField name="Key" numFmtId="0">
      <sharedItems/>
    </cacheField>
    <cacheField name="deltaHour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s v="000000001"/>
    <s v="2026-08-20T09:00:00"/>
    <s v="Готов к приёмке"/>
    <x v="0"/>
    <s v="2026-08-20T09:05:00"/>
    <s v="Тестов Тест Тестович"/>
    <x v="0"/>
    <s v="Пост СТК-1"/>
    <n v="20"/>
    <n v="8"/>
    <n v="2026"/>
    <x v="0"/>
    <x v="0"/>
    <s v="ДГМ"/>
    <s v="Автотранспорт"/>
    <x v="0"/>
    <x v="0"/>
    <m/>
    <x v="0"/>
    <s v="000000001|2026-08-20T09:00:00|Готов к приёмке|ДГМ"/>
    <m/>
  </r>
  <r>
    <s v="000000001"/>
    <s v="2026-08-20T09:00:00"/>
    <s v="Готов к выбытию"/>
    <x v="0"/>
    <s v="2026-08-20T11:05:00"/>
    <s v="Тестов Тест Тестович"/>
    <x v="0"/>
    <s v="Пост СТК-1"/>
    <n v="20"/>
    <n v="8"/>
    <n v="2026"/>
    <x v="0"/>
    <x v="0"/>
    <s v="ДГМ"/>
    <s v="Автотранспорт"/>
    <x v="0"/>
    <x v="0"/>
    <m/>
    <x v="0"/>
    <s v="000000001|2026-08-20T09:00:00|Готов к выбытию|ДГМ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D85973-866E-40D3-9BBE-2669194513BE}" name="ptBlock9" cacheId="35" applyNumberFormats="0" applyBorderFormats="0" applyFontFormats="0" applyPatternFormats="0" applyAlignmentFormats="0" applyWidthHeightFormats="1" dataCaption="Значения" updatedVersion="7" minRefreshableVersion="3" showCalcMbrs="0" useAutoFormatting="1" itemPrintTitles="1" createdVersion="3" indent="0" outline="1" outlineData="1" multipleFieldFilters="0">
  <location ref="A400:B403" firstHeaderRow="1" firstDataRow="1" firstDataCol="1"/>
  <pivotFields count="2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dataField="1" showAll="0"/>
    <pivotField showAll="0"/>
  </pivotFields>
  <rowFields count="2">
    <field x="12"/>
    <field x="16"/>
  </rowFields>
  <rowItems count="3">
    <i>
      <x/>
    </i>
    <i r="1">
      <x/>
    </i>
    <i t="grand">
      <x/>
    </i>
  </rowItems>
  <colItems count="1">
    <i/>
  </colItems>
  <dataFields count="1">
    <dataField name="Кол-во" fld="19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0110F7-9031-4F88-84AA-55DBFF5C596C}" name="ptBlock5" cacheId="35" applyNumberFormats="0" applyBorderFormats="0" applyFontFormats="0" applyPatternFormats="0" applyAlignmentFormats="0" applyWidthHeightFormats="1" dataCaption="Значения" updatedVersion="7" minRefreshableVersion="3" showCalcMbrs="0" useAutoFormatting="1" itemPrintTitles="1" createdVersion="3" indent="0" outline="1" outlineData="1" multipleFieldFilters="0">
  <location ref="A150:C154" firstHeaderRow="1" firstDataRow="2" firstDataCol="1" rowPageCount="1" colPageCount="1"/>
  <pivotFields count="21">
    <pivotField showAll="0"/>
    <pivotField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axis="axisPage" showAll="0">
      <items count="2">
        <item x="0"/>
        <item t="default"/>
      </items>
    </pivotField>
    <pivotField showAll="0"/>
    <pivotField showAll="0"/>
    <pivotField axis="axisRow" showAll="0">
      <items count="2">
        <item x="0"/>
        <item t="default"/>
      </items>
    </pivotField>
    <pivotField dataField="1" showAll="0"/>
    <pivotField showAll="0"/>
  </pivotFields>
  <rowFields count="2">
    <field x="18"/>
    <field x="6"/>
  </rowFields>
  <rowItems count="3">
    <i>
      <x/>
    </i>
    <i r="1">
      <x/>
    </i>
    <i t="grand">
      <x/>
    </i>
  </rowItems>
  <colFields count="1">
    <field x="11"/>
  </colFields>
  <colItems count="2">
    <i>
      <x/>
    </i>
    <i t="grand">
      <x/>
    </i>
  </colItems>
  <pageFields count="1">
    <pageField fld="15" hier="-1"/>
  </pageFields>
  <dataFields count="1">
    <dataField name="Кол-во" fld="19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AF7235-84AD-47BE-9F78-051A73AB5E4F}" name="ptBlock4" cacheId="35" applyNumberFormats="0" applyBorderFormats="0" applyFontFormats="0" applyPatternFormats="0" applyAlignmentFormats="0" applyWidthHeightFormats="1" dataCaption="Значения" updatedVersion="7" minRefreshableVersion="3" showCalcMbrs="0" useAutoFormatting="1" itemPrintTitles="1" createdVersion="3" indent="0" outline="1" outlineData="1" multipleFieldFilters="0">
  <location ref="A100:C104" firstHeaderRow="1" firstDataRow="2" firstDataCol="1" rowPageCount="1" colPageCount="1"/>
  <pivotFields count="21"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axis="axisPage" showAll="0">
      <items count="2">
        <item x="0"/>
        <item t="default"/>
      </items>
    </pivotField>
    <pivotField showAll="0"/>
    <pivotField showAll="0"/>
    <pivotField showAll="0"/>
    <pivotField dataField="1" showAll="0"/>
    <pivotField showAll="0"/>
  </pivotFields>
  <rowFields count="2">
    <field x="3"/>
    <field x="6"/>
  </rowFields>
  <rowItems count="3">
    <i>
      <x/>
    </i>
    <i r="1">
      <x/>
    </i>
    <i t="grand">
      <x/>
    </i>
  </rowItems>
  <colFields count="1">
    <field x="11"/>
  </colFields>
  <colItems count="2">
    <i>
      <x/>
    </i>
    <i t="grand">
      <x/>
    </i>
  </colItems>
  <pageFields count="1">
    <pageField fld="15" hier="-1"/>
  </pageFields>
  <dataFields count="1">
    <dataField name="Кол-во" fld="19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D6C423-A8FE-451E-AFCC-431529DBED68}" name="ptBlock1" cacheId="35" applyNumberFormats="0" applyBorderFormats="0" applyFontFormats="0" applyPatternFormats="0" applyAlignmentFormats="0" applyWidthHeightFormats="1" dataCaption="Значения" updatedVersion="7" minRefreshableVersion="3" showCalcMbrs="0" useAutoFormatting="1" itemPrintTitles="1" createdVersion="3" indent="0" outline="1" outlineData="1" multipleFieldFilters="0">
  <location ref="A3:C7" firstHeaderRow="1" firstDataRow="2" firstDataCol="1" rowPageCount="1" colPageCount="1"/>
  <pivotFields count="21"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axis="axisPage" showAll="0">
      <items count="2">
        <item x="0"/>
        <item t="default"/>
      </items>
    </pivotField>
    <pivotField showAll="0"/>
    <pivotField showAll="0"/>
    <pivotField showAll="0"/>
    <pivotField dataField="1" showAll="0"/>
    <pivotField showAll="0"/>
  </pivotFields>
  <rowFields count="2">
    <field x="3"/>
    <field x="6"/>
  </rowFields>
  <rowItems count="3">
    <i>
      <x/>
    </i>
    <i r="1">
      <x/>
    </i>
    <i t="grand">
      <x/>
    </i>
  </rowItems>
  <colFields count="1">
    <field x="11"/>
  </colFields>
  <colItems count="2">
    <i>
      <x/>
    </i>
    <i t="grand">
      <x/>
    </i>
  </colItems>
  <pageFields count="1">
    <pageField fld="15" hier="-1"/>
  </pageFields>
  <dataFields count="1">
    <dataField name="Кол-во" fld="19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2F7A207F-69C5-47DA-AAC8-368A4EC6AFFE}" autoFormatId="16" applyNumberFormats="0" applyBorderFormats="0" applyFontFormats="0" applyPatternFormats="0" applyAlignmentFormats="0" applyWidthHeightFormats="0">
  <queryTableRefresh nextId="22">
    <queryTableFields count="21">
      <queryTableField id="1" name="number" tableColumnId="1"/>
      <queryTableField id="2" name="date" tableColumnId="2"/>
      <queryTableField id="3" name="ready_for" tableColumnId="3"/>
      <queryTableField id="4" name="direction" tableColumnId="4"/>
      <queryTableField id="5" name="status_date" tableColumnId="5"/>
      <queryTableField id="6" name="employee" tableColumnId="6"/>
      <queryTableField id="7" name="arm" tableColumnId="7"/>
      <queryTableField id="8" name="post" tableColumnId="8"/>
      <queryTableField id="9" name="day_status" tableColumnId="9"/>
      <queryTableField id="10" name="month_status" tableColumnId="10"/>
      <queryTableField id="11" name="year_status" tableColumnId="11"/>
      <queryTableField id="12" name="week_status" tableColumnId="12"/>
      <queryTableField id="13" name="zn_type" tableColumnId="13"/>
      <queryTableField id="14" name="emp_dep" tableColumnId="14"/>
      <queryTableField id="15" name="model_type" tableColumnId="15"/>
      <queryTableField id="16" name="in_bounds" tableColumnId="16"/>
      <queryTableField id="17" name="defekt_type" tableColumnId="17"/>
      <queryTableField id="18" name="defect_desc" tableColumnId="18"/>
      <queryTableField id="19" name="postN" tableColumnId="19"/>
      <queryTableField id="20" name="Key" tableColumnId="20"/>
      <queryTableField id="21" name="deltaHours" tableColumnId="21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Variable" displayName="tblVariable" ref="A1:B9">
  <autoFilter ref="A1:B9" xr:uid="{00000000-0009-0000-0100-000001000000}"/>
  <tableColumns count="2">
    <tableColumn id="1" xr3:uid="{00000000-0010-0000-0000-000001000000}" name="Key"/>
    <tableColumn id="2" xr3:uid="{00000000-0010-0000-0000-000002000000}" name="Valu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38E5461-9E59-4187-B50C-FB08FA4B2D6E}" name="tbLogs" displayName="tbLogs" ref="A1:E7" totalsRowShown="0">
  <autoFilter ref="A1:E7" xr:uid="{F38E5461-9E59-4187-B50C-FB08FA4B2D6E}"/>
  <tableColumns count="5">
    <tableColumn id="1" xr3:uid="{AA81C388-B77A-4FD9-BC08-4C700561B0AB}" name="Дата"/>
    <tableColumn id="2" xr3:uid="{886B182E-7B9F-4939-8FFA-4754D9E097C9}" name="Тип записи"/>
    <tableColumn id="3" xr3:uid="{DFA03FA3-00B0-46C7-8A1A-20BEAC445257}" name="Действие"/>
    <tableColumn id="4" xr3:uid="{DEB869CD-1E79-44C1-904E-60995CCB6B75}" name="Источник"/>
    <tableColumn id="5" xr3:uid="{B3C120CE-A8C1-4C32-BEDF-4667C712BA41}" name="Результат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E3A8D6-277E-49CB-AF1F-E2ADAF71A9F2}" name="tbData" displayName="tbData" ref="A1:U3" tableType="queryTable" totalsRowShown="0">
  <autoFilter ref="A1:U3" xr:uid="{88E3A8D6-277E-49CB-AF1F-E2ADAF71A9F2}"/>
  <tableColumns count="21">
    <tableColumn id="1" xr3:uid="{ADA04A63-0EC1-436A-86CB-79FD394DFAA4}" uniqueName="1" name="number" queryTableFieldId="1"/>
    <tableColumn id="2" xr3:uid="{5C2A275E-3842-4D41-878E-16BC839201EE}" uniqueName="2" name="date" queryTableFieldId="2"/>
    <tableColumn id="3" xr3:uid="{12F04C15-C120-4C09-AC8C-E1F0BF2279A0}" uniqueName="3" name="ready_for" queryTableFieldId="3"/>
    <tableColumn id="4" xr3:uid="{96ED98C7-C844-43F1-A63B-FAED984E8792}" uniqueName="4" name="direction" queryTableFieldId="4"/>
    <tableColumn id="5" xr3:uid="{81781953-B3A7-4E43-A063-25EE1FA83653}" uniqueName="5" name="status_date" queryTableFieldId="5"/>
    <tableColumn id="6" xr3:uid="{ED8534EF-2754-4F4E-8359-17909F18BD9C}" uniqueName="6" name="employee" queryTableFieldId="6"/>
    <tableColumn id="7" xr3:uid="{1A3C6959-E4D5-4F5E-BE1B-6688B9980ED1}" uniqueName="7" name="arm" queryTableFieldId="7"/>
    <tableColumn id="8" xr3:uid="{05FF2AAE-DCF8-4E70-8A6D-1062864B0046}" uniqueName="8" name="post" queryTableFieldId="8"/>
    <tableColumn id="9" xr3:uid="{5539568D-4A76-4468-9442-26630A7F77D9}" uniqueName="9" name="day_status" queryTableFieldId="9"/>
    <tableColumn id="10" xr3:uid="{606F75F4-A95F-4984-85A2-E52382976F30}" uniqueName="10" name="month_status" queryTableFieldId="10"/>
    <tableColumn id="11" xr3:uid="{5369741E-44FE-40AC-8D88-8D432896EB45}" uniqueName="11" name="year_status" queryTableFieldId="11"/>
    <tableColumn id="12" xr3:uid="{687FE2E3-BB52-4977-B1A6-810F18621EFD}" uniqueName="12" name="week_status" queryTableFieldId="12"/>
    <tableColumn id="13" xr3:uid="{97A044AB-E476-40B1-9514-1F28493CBDF8}" uniqueName="13" name="zn_type" queryTableFieldId="13"/>
    <tableColumn id="14" xr3:uid="{90E0560A-593C-4B8C-84CB-6CA87F7A8B17}" uniqueName="14" name="emp_dep" queryTableFieldId="14"/>
    <tableColumn id="15" xr3:uid="{F4E7F874-60CE-4D97-870E-612123408283}" uniqueName="15" name="model_type" queryTableFieldId="15"/>
    <tableColumn id="16" xr3:uid="{0048CBCB-CF3A-4DD2-AF34-71E5EBA81D8D}" uniqueName="16" name="in_bounds" queryTableFieldId="16"/>
    <tableColumn id="17" xr3:uid="{1C3DA942-EFF0-4AF0-841D-F43E2E205B3E}" uniqueName="17" name="defekt_type" queryTableFieldId="17"/>
    <tableColumn id="18" xr3:uid="{8E6C4B6B-1578-4729-90EF-847F5B89E352}" uniqueName="18" name="defect_desc" queryTableFieldId="18"/>
    <tableColumn id="19" xr3:uid="{9BB3E774-898E-4421-B626-6BA3EEEF43A7}" uniqueName="19" name="postN" queryTableFieldId="19"/>
    <tableColumn id="20" xr3:uid="{3EAC8D28-5A31-4C5C-8E0A-36DD5150CBE5}" uniqueName="20" name="Key" queryTableFieldId="20"/>
    <tableColumn id="21" xr3:uid="{B5E0DCCA-D309-4EB5-B7D1-88AACBC7E285}" uniqueName="21" name="deltaHours" queryTableFieldId="2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DA51C-1063-4B5A-84E8-056C3F0C49D6}">
  <sheetPr codeName="Лист5"/>
  <dimension ref="A1:C403"/>
  <sheetViews>
    <sheetView workbookViewId="0"/>
  </sheetViews>
  <sheetFormatPr defaultRowHeight="15" x14ac:dyDescent="0.25"/>
  <cols>
    <col min="1" max="1" width="23.42578125" bestFit="1" customWidth="1"/>
    <col min="2" max="2" width="7.28515625" bestFit="1" customWidth="1"/>
    <col min="3" max="3" width="11.85546875" bestFit="1" customWidth="1"/>
  </cols>
  <sheetData>
    <row r="1" spans="1:3" x14ac:dyDescent="0.25">
      <c r="A1" s="6" t="s">
        <v>46</v>
      </c>
      <c r="B1" t="s">
        <v>71</v>
      </c>
    </row>
    <row r="3" spans="1:3" x14ac:dyDescent="0.25">
      <c r="A3" s="6" t="s">
        <v>72</v>
      </c>
      <c r="B3" s="6" t="s">
        <v>70</v>
      </c>
    </row>
    <row r="4" spans="1:3" x14ac:dyDescent="0.25">
      <c r="A4" s="6" t="s">
        <v>68</v>
      </c>
      <c r="B4">
        <v>34</v>
      </c>
      <c r="C4" t="s">
        <v>69</v>
      </c>
    </row>
    <row r="5" spans="1:3" x14ac:dyDescent="0.25">
      <c r="A5" s="7" t="s">
        <v>54</v>
      </c>
      <c r="B5" s="9">
        <v>2</v>
      </c>
      <c r="C5" s="9">
        <v>2</v>
      </c>
    </row>
    <row r="6" spans="1:3" x14ac:dyDescent="0.25">
      <c r="A6" s="8" t="s">
        <v>57</v>
      </c>
      <c r="B6" s="9">
        <v>2</v>
      </c>
      <c r="C6" s="9">
        <v>2</v>
      </c>
    </row>
    <row r="7" spans="1:3" x14ac:dyDescent="0.25">
      <c r="A7" s="7" t="s">
        <v>69</v>
      </c>
      <c r="B7" s="9">
        <v>2</v>
      </c>
      <c r="C7" s="9">
        <v>2</v>
      </c>
    </row>
    <row r="98" spans="1:3" x14ac:dyDescent="0.25">
      <c r="A98" s="6" t="s">
        <v>46</v>
      </c>
      <c r="B98" t="s">
        <v>71</v>
      </c>
    </row>
    <row r="100" spans="1:3" x14ac:dyDescent="0.25">
      <c r="A100" s="6" t="s">
        <v>72</v>
      </c>
      <c r="B100" s="6" t="s">
        <v>70</v>
      </c>
    </row>
    <row r="101" spans="1:3" x14ac:dyDescent="0.25">
      <c r="A101" s="6" t="s">
        <v>68</v>
      </c>
      <c r="B101">
        <v>34</v>
      </c>
      <c r="C101" t="s">
        <v>69</v>
      </c>
    </row>
    <row r="102" spans="1:3" x14ac:dyDescent="0.25">
      <c r="A102" s="7" t="s">
        <v>54</v>
      </c>
      <c r="B102" s="9">
        <v>2</v>
      </c>
      <c r="C102" s="9">
        <v>2</v>
      </c>
    </row>
    <row r="103" spans="1:3" x14ac:dyDescent="0.25">
      <c r="A103" s="8" t="s">
        <v>57</v>
      </c>
      <c r="B103" s="9">
        <v>2</v>
      </c>
      <c r="C103" s="9">
        <v>2</v>
      </c>
    </row>
    <row r="104" spans="1:3" x14ac:dyDescent="0.25">
      <c r="A104" s="7" t="s">
        <v>69</v>
      </c>
      <c r="B104" s="9">
        <v>2</v>
      </c>
      <c r="C104" s="9">
        <v>2</v>
      </c>
    </row>
    <row r="148" spans="1:3" x14ac:dyDescent="0.25">
      <c r="A148" s="6" t="s">
        <v>46</v>
      </c>
      <c r="B148" t="s">
        <v>71</v>
      </c>
    </row>
    <row r="150" spans="1:3" x14ac:dyDescent="0.25">
      <c r="A150" s="6" t="s">
        <v>72</v>
      </c>
      <c r="B150" s="6" t="s">
        <v>70</v>
      </c>
    </row>
    <row r="151" spans="1:3" x14ac:dyDescent="0.25">
      <c r="A151" s="6" t="s">
        <v>68</v>
      </c>
      <c r="B151">
        <v>34</v>
      </c>
      <c r="C151" t="s">
        <v>69</v>
      </c>
    </row>
    <row r="152" spans="1:3" x14ac:dyDescent="0.25">
      <c r="A152" s="7" t="s">
        <v>61</v>
      </c>
      <c r="B152" s="9">
        <v>2</v>
      </c>
      <c r="C152" s="9">
        <v>2</v>
      </c>
    </row>
    <row r="153" spans="1:3" x14ac:dyDescent="0.25">
      <c r="A153" s="8" t="s">
        <v>57</v>
      </c>
      <c r="B153" s="9">
        <v>2</v>
      </c>
      <c r="C153" s="9">
        <v>2</v>
      </c>
    </row>
    <row r="154" spans="1:3" x14ac:dyDescent="0.25">
      <c r="A154" s="7" t="s">
        <v>69</v>
      </c>
      <c r="B154" s="9">
        <v>2</v>
      </c>
      <c r="C154" s="9">
        <v>2</v>
      </c>
    </row>
    <row r="400" spans="1:2" x14ac:dyDescent="0.25">
      <c r="A400" s="6" t="s">
        <v>68</v>
      </c>
      <c r="B400" t="s">
        <v>72</v>
      </c>
    </row>
    <row r="401" spans="1:2" x14ac:dyDescent="0.25">
      <c r="A401" s="7" t="s">
        <v>59</v>
      </c>
      <c r="B401" s="9">
        <v>2</v>
      </c>
    </row>
    <row r="402" spans="1:2" x14ac:dyDescent="0.25">
      <c r="A402" s="8" t="s">
        <v>73</v>
      </c>
      <c r="B402" s="9">
        <v>2</v>
      </c>
    </row>
    <row r="403" spans="1:2" x14ac:dyDescent="0.25">
      <c r="A403" s="7" t="s">
        <v>69</v>
      </c>
      <c r="B403" s="9">
        <v>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8"/>
  <sheetViews>
    <sheetView tabSelected="1" workbookViewId="0">
      <selection activeCell="C11" sqref="C11"/>
    </sheetView>
  </sheetViews>
  <sheetFormatPr defaultRowHeight="15" x14ac:dyDescent="0.25"/>
  <cols>
    <col min="1" max="1" width="70" customWidth="1"/>
  </cols>
  <sheetData>
    <row r="1" spans="1:1" ht="18.75" x14ac:dyDescent="0.3">
      <c r="A1" s="1" t="s">
        <v>0</v>
      </c>
    </row>
    <row r="3" spans="1:1" x14ac:dyDescent="0.25">
      <c r="A3" t="s">
        <v>1</v>
      </c>
    </row>
    <row r="4" spans="1:1" x14ac:dyDescent="0.25">
      <c r="A4" t="s">
        <v>2</v>
      </c>
    </row>
    <row r="5" spans="1:1" x14ac:dyDescent="0.25">
      <c r="A5" t="s">
        <v>3</v>
      </c>
    </row>
    <row r="6" spans="1:1" x14ac:dyDescent="0.25">
      <c r="A6" t="s">
        <v>4</v>
      </c>
    </row>
    <row r="8" spans="1:1" x14ac:dyDescent="0.25">
      <c r="A8" s="2" t="s">
        <v>5</v>
      </c>
    </row>
  </sheetData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D9"/>
  <sheetViews>
    <sheetView workbookViewId="0">
      <selection activeCell="D9" sqref="D9"/>
    </sheetView>
  </sheetViews>
  <sheetFormatPr defaultRowHeight="15" x14ac:dyDescent="0.25"/>
  <cols>
    <col min="1" max="1" width="28" customWidth="1"/>
    <col min="2" max="2" width="45" customWidth="1"/>
  </cols>
  <sheetData>
    <row r="1" spans="1:4" x14ac:dyDescent="0.25">
      <c r="A1" t="s">
        <v>6</v>
      </c>
      <c r="B1" t="s">
        <v>7</v>
      </c>
      <c r="D1" s="3" t="s">
        <v>8</v>
      </c>
    </row>
    <row r="2" spans="1:4" x14ac:dyDescent="0.25">
      <c r="A2" t="s">
        <v>9</v>
      </c>
      <c r="B2" t="s">
        <v>10</v>
      </c>
      <c r="D2" s="3" t="s">
        <v>11</v>
      </c>
    </row>
    <row r="3" spans="1:4" x14ac:dyDescent="0.25">
      <c r="A3" t="s">
        <v>12</v>
      </c>
      <c r="B3" t="s">
        <v>74</v>
      </c>
    </row>
    <row r="4" spans="1:4" x14ac:dyDescent="0.25">
      <c r="A4" t="s">
        <v>13</v>
      </c>
      <c r="B4" t="s">
        <v>14</v>
      </c>
      <c r="D4" s="4" t="s">
        <v>15</v>
      </c>
    </row>
    <row r="5" spans="1:4" x14ac:dyDescent="0.25">
      <c r="A5" t="s">
        <v>16</v>
      </c>
      <c r="B5" t="s">
        <v>17</v>
      </c>
    </row>
    <row r="6" spans="1:4" x14ac:dyDescent="0.25">
      <c r="A6" t="s">
        <v>18</v>
      </c>
      <c r="B6">
        <v>8</v>
      </c>
    </row>
    <row r="7" spans="1:4" x14ac:dyDescent="0.25">
      <c r="A7" t="s">
        <v>19</v>
      </c>
      <c r="B7">
        <v>5</v>
      </c>
    </row>
    <row r="8" spans="1:4" x14ac:dyDescent="0.25">
      <c r="A8" t="s">
        <v>20</v>
      </c>
      <c r="B8">
        <v>10</v>
      </c>
    </row>
    <row r="9" spans="1:4" x14ac:dyDescent="0.25">
      <c r="A9" t="s">
        <v>21</v>
      </c>
      <c r="B9" t="s">
        <v>67</v>
      </c>
    </row>
  </sheetData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E7"/>
  <sheetViews>
    <sheetView workbookViewId="0">
      <selection sqref="A1:E2"/>
    </sheetView>
  </sheetViews>
  <sheetFormatPr defaultRowHeight="15" x14ac:dyDescent="0.25"/>
  <cols>
    <col min="1" max="5" width="22" customWidth="1"/>
  </cols>
  <sheetData>
    <row r="1" spans="1:5" x14ac:dyDescent="0.25">
      <c r="A1" t="s">
        <v>22</v>
      </c>
      <c r="B1" t="s">
        <v>23</v>
      </c>
      <c r="C1" t="s">
        <v>24</v>
      </c>
      <c r="D1" t="s">
        <v>25</v>
      </c>
      <c r="E1" t="s">
        <v>26</v>
      </c>
    </row>
    <row r="2" spans="1:5" x14ac:dyDescent="0.25">
      <c r="A2" s="5">
        <v>46258.427719907406</v>
      </c>
      <c r="B2" t="s">
        <v>27</v>
      </c>
      <c r="C2" t="s">
        <v>28</v>
      </c>
      <c r="D2" t="s">
        <v>29</v>
      </c>
      <c r="E2" t="s">
        <v>30</v>
      </c>
    </row>
    <row r="3" spans="1:5" x14ac:dyDescent="0.25">
      <c r="A3" s="5">
        <v>46258.427812499998</v>
      </c>
      <c r="B3" t="s">
        <v>27</v>
      </c>
      <c r="C3" t="s">
        <v>28</v>
      </c>
      <c r="D3" t="s">
        <v>29</v>
      </c>
      <c r="E3" t="s">
        <v>30</v>
      </c>
    </row>
    <row r="4" spans="1:5" x14ac:dyDescent="0.25">
      <c r="A4" s="5">
        <v>46258.428206018521</v>
      </c>
      <c r="B4" t="s">
        <v>27</v>
      </c>
      <c r="C4" t="s">
        <v>28</v>
      </c>
      <c r="D4" t="s">
        <v>29</v>
      </c>
      <c r="E4" t="s">
        <v>30</v>
      </c>
    </row>
    <row r="5" spans="1:5" x14ac:dyDescent="0.25">
      <c r="A5" s="5">
        <v>46258.438275462962</v>
      </c>
      <c r="B5" t="s">
        <v>27</v>
      </c>
      <c r="C5" t="s">
        <v>28</v>
      </c>
      <c r="D5" t="s">
        <v>66</v>
      </c>
      <c r="E5" t="s">
        <v>30</v>
      </c>
    </row>
    <row r="6" spans="1:5" x14ac:dyDescent="0.25">
      <c r="A6" s="5">
        <v>46258.451678240737</v>
      </c>
      <c r="B6" t="s">
        <v>75</v>
      </c>
      <c r="C6" t="s">
        <v>76</v>
      </c>
      <c r="D6" t="s">
        <v>10</v>
      </c>
      <c r="E6" t="s">
        <v>77</v>
      </c>
    </row>
    <row r="7" spans="1:5" x14ac:dyDescent="0.25">
      <c r="A7" s="5">
        <v>46258.456412037034</v>
      </c>
      <c r="B7" t="s">
        <v>75</v>
      </c>
      <c r="C7" t="s">
        <v>76</v>
      </c>
      <c r="D7" t="s">
        <v>10</v>
      </c>
      <c r="E7" t="s">
        <v>77</v>
      </c>
    </row>
  </sheetData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U3"/>
  <sheetViews>
    <sheetView workbookViewId="0"/>
  </sheetViews>
  <sheetFormatPr defaultRowHeight="15" x14ac:dyDescent="0.25"/>
  <cols>
    <col min="1" max="1" width="10.28515625" bestFit="1" customWidth="1"/>
    <col min="2" max="2" width="18.85546875" bestFit="1" customWidth="1"/>
    <col min="3" max="3" width="16.5703125" bestFit="1" customWidth="1"/>
    <col min="4" max="4" width="11.28515625" bestFit="1" customWidth="1"/>
    <col min="5" max="5" width="18.85546875" bestFit="1" customWidth="1"/>
    <col min="6" max="6" width="20.140625" bestFit="1" customWidth="1"/>
    <col min="7" max="7" width="10" bestFit="1" customWidth="1"/>
    <col min="8" max="8" width="10.5703125" bestFit="1" customWidth="1"/>
    <col min="9" max="9" width="12.7109375" bestFit="1" customWidth="1"/>
    <col min="10" max="10" width="15.5703125" bestFit="1" customWidth="1"/>
    <col min="11" max="11" width="13.42578125" bestFit="1" customWidth="1"/>
    <col min="12" max="12" width="14.42578125" bestFit="1" customWidth="1"/>
    <col min="13" max="13" width="21.140625" bestFit="1" customWidth="1"/>
    <col min="14" max="14" width="11.7109375" bestFit="1" customWidth="1"/>
    <col min="15" max="15" width="14.7109375" bestFit="1" customWidth="1"/>
    <col min="16" max="16" width="12.5703125" bestFit="1" customWidth="1"/>
    <col min="17" max="17" width="14.140625" bestFit="1" customWidth="1"/>
    <col min="18" max="18" width="14" bestFit="1" customWidth="1"/>
    <col min="19" max="19" width="8.5703125" bestFit="1" customWidth="1"/>
    <col min="20" max="20" width="51.42578125" bestFit="1" customWidth="1"/>
    <col min="21" max="21" width="13" bestFit="1" customWidth="1"/>
  </cols>
  <sheetData>
    <row r="1" spans="1:21" x14ac:dyDescent="0.25">
      <c r="A1" t="s">
        <v>31</v>
      </c>
      <c r="B1" t="s">
        <v>32</v>
      </c>
      <c r="C1" t="s">
        <v>33</v>
      </c>
      <c r="D1" t="s">
        <v>34</v>
      </c>
      <c r="E1" t="s">
        <v>35</v>
      </c>
      <c r="F1" t="s">
        <v>36</v>
      </c>
      <c r="G1" t="s">
        <v>37</v>
      </c>
      <c r="H1" t="s">
        <v>38</v>
      </c>
      <c r="I1" t="s">
        <v>39</v>
      </c>
      <c r="J1" t="s">
        <v>40</v>
      </c>
      <c r="K1" t="s">
        <v>41</v>
      </c>
      <c r="L1" t="s">
        <v>42</v>
      </c>
      <c r="M1" t="s">
        <v>43</v>
      </c>
      <c r="N1" t="s">
        <v>44</v>
      </c>
      <c r="O1" t="s">
        <v>45</v>
      </c>
      <c r="P1" t="s">
        <v>46</v>
      </c>
      <c r="Q1" t="s">
        <v>47</v>
      </c>
      <c r="R1" t="s">
        <v>48</v>
      </c>
      <c r="S1" t="s">
        <v>49</v>
      </c>
      <c r="T1" t="s">
        <v>6</v>
      </c>
      <c r="U1" t="s">
        <v>50</v>
      </c>
    </row>
    <row r="2" spans="1:21" x14ac:dyDescent="0.25">
      <c r="A2" t="s">
        <v>51</v>
      </c>
      <c r="B2" t="s">
        <v>52</v>
      </c>
      <c r="C2" t="s">
        <v>53</v>
      </c>
      <c r="D2" t="s">
        <v>54</v>
      </c>
      <c r="E2" t="s">
        <v>55</v>
      </c>
      <c r="F2" t="s">
        <v>56</v>
      </c>
      <c r="G2" t="s">
        <v>57</v>
      </c>
      <c r="H2" t="s">
        <v>58</v>
      </c>
      <c r="I2">
        <v>20</v>
      </c>
      <c r="J2">
        <v>8</v>
      </c>
      <c r="K2">
        <v>2026</v>
      </c>
      <c r="L2">
        <v>34</v>
      </c>
      <c r="M2" t="s">
        <v>59</v>
      </c>
      <c r="N2" t="s">
        <v>54</v>
      </c>
      <c r="O2" t="s">
        <v>60</v>
      </c>
      <c r="P2" t="b">
        <v>1</v>
      </c>
      <c r="S2" t="s">
        <v>61</v>
      </c>
      <c r="T2" t="s">
        <v>62</v>
      </c>
    </row>
    <row r="3" spans="1:21" x14ac:dyDescent="0.25">
      <c r="A3" t="s">
        <v>51</v>
      </c>
      <c r="B3" t="s">
        <v>52</v>
      </c>
      <c r="C3" t="s">
        <v>63</v>
      </c>
      <c r="D3" t="s">
        <v>54</v>
      </c>
      <c r="E3" t="s">
        <v>64</v>
      </c>
      <c r="F3" t="s">
        <v>56</v>
      </c>
      <c r="G3" t="s">
        <v>57</v>
      </c>
      <c r="H3" t="s">
        <v>58</v>
      </c>
      <c r="I3">
        <v>20</v>
      </c>
      <c r="J3">
        <v>8</v>
      </c>
      <c r="K3">
        <v>2026</v>
      </c>
      <c r="L3">
        <v>34</v>
      </c>
      <c r="M3" t="s">
        <v>59</v>
      </c>
      <c r="N3" t="s">
        <v>54</v>
      </c>
      <c r="O3" t="s">
        <v>60</v>
      </c>
      <c r="P3" t="b">
        <v>1</v>
      </c>
      <c r="S3" t="s">
        <v>61</v>
      </c>
      <c r="T3" t="s">
        <v>65</v>
      </c>
    </row>
  </sheetData>
  <dataConsolidate/>
  <pageMargins left="0.75" right="0.75" top="1" bottom="1" header="0.5" footer="0.5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166C3AC-0A9E-4297-BBB7-F417BBA0512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Main</vt:lpstr>
      <vt:lpstr>Variable</vt:lpstr>
      <vt:lpstr>Logs</vt:lpstr>
      <vt:lpstr>tbDATA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Солдатов Дмитрий Евгеньевич</cp:lastModifiedBy>
  <dcterms:created xsi:type="dcterms:W3CDTF">2026-08-24T04:32:35Z</dcterms:created>
  <dcterms:modified xsi:type="dcterms:W3CDTF">2026-08-24T12:05:24Z</dcterms:modified>
</cp:coreProperties>
</file>